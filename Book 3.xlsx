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hidePivotFieldList="1" defaultThemeVersion="166925"/>
  <xr:revisionPtr revIDLastSave="159" documentId="11_E60897F41BE170836B02CE998F75CCDC64E183C8" xr6:coauthVersionLast="47" xr6:coauthVersionMax="47" xr10:uidLastSave="{15229255-D684-4A48-8D54-71FFA1139A3D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6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I5" i="1"/>
  <c r="I4" i="1"/>
  <c r="I3" i="1"/>
  <c r="I2" i="1"/>
  <c r="I1" i="1"/>
</calcChain>
</file>

<file path=xl/sharedStrings.xml><?xml version="1.0" encoding="utf-8"?>
<sst xmlns="http://schemas.openxmlformats.org/spreadsheetml/2006/main" count="127" uniqueCount="49">
  <si>
    <t xml:space="preserve">Sum of SALES </t>
  </si>
  <si>
    <t xml:space="preserve">REGION </t>
  </si>
  <si>
    <t xml:space="preserve">PRODUCT </t>
  </si>
  <si>
    <t>TORONTO</t>
  </si>
  <si>
    <t>VANCOUVER</t>
  </si>
  <si>
    <t>Grand Total</t>
  </si>
  <si>
    <t xml:space="preserve">CHAIR </t>
  </si>
  <si>
    <t>DESK</t>
  </si>
  <si>
    <t>KEYBOARD</t>
  </si>
  <si>
    <t>LAPTOP</t>
  </si>
  <si>
    <t xml:space="preserve">LAPTOP </t>
  </si>
  <si>
    <t xml:space="preserve">MONITER </t>
  </si>
  <si>
    <t>PHONE</t>
  </si>
  <si>
    <t>TABLET</t>
  </si>
  <si>
    <t xml:space="preserve">Order Id </t>
  </si>
  <si>
    <t xml:space="preserve">CATEGIRY </t>
  </si>
  <si>
    <t xml:space="preserve">SALES </t>
  </si>
  <si>
    <t xml:space="preserve">MONTHS </t>
  </si>
  <si>
    <t>PERFORMANCE</t>
  </si>
  <si>
    <t xml:space="preserve">Total Sales </t>
  </si>
  <si>
    <t>A2</t>
  </si>
  <si>
    <t>ELECTRONICS</t>
  </si>
  <si>
    <t xml:space="preserve">JANUARY </t>
  </si>
  <si>
    <t xml:space="preserve">Average Sale </t>
  </si>
  <si>
    <t>A3</t>
  </si>
  <si>
    <t>Highest sale</t>
  </si>
  <si>
    <t>A4</t>
  </si>
  <si>
    <t xml:space="preserve">ELECTRONICS </t>
  </si>
  <si>
    <t>FEBRUARY</t>
  </si>
  <si>
    <t>Lowest sale</t>
  </si>
  <si>
    <t>A5</t>
  </si>
  <si>
    <t>A6</t>
  </si>
  <si>
    <t xml:space="preserve">MARCH </t>
  </si>
  <si>
    <t>A7</t>
  </si>
  <si>
    <t xml:space="preserve">FURNITURE 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</si>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</sst>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TORONTO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Sheet2!$A$5:$A$13</c:f>
              <c:strCache>
                <c:ptCount val="8"/>
                <c:pt idx="0">
                  <c:v>CHAIR 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LAPTOP </c:v>
                </c:pt>
                <c:pt idx="5">
                  <c:v>MONITER </c:v>
                </c:pt>
                <c:pt idx="6">
                  <c:v>PHONE</c:v>
                </c:pt>
                <c:pt idx="7">
                  <c:v>TABLET</c:v>
                </c:pt>
              </c:strCache>
            </c:strRef>
          </c:cat>
          <c:val>
            <c:numRef>
              <c:f>Sheet2!$B$5:$B$13</c:f>
              <c:numCache>
                <c:formatCode>General</c:formatCode>
                <c:ptCount val="8"/>
                <c:pt idx="0">
                  <c:v>525</c:v>
                </c:pt>
                <c:pt idx="2">
                  <c:v>330</c:v>
                </c:pt>
                <c:pt idx="4">
                  <c:v>2850</c:v>
                </c:pt>
                <c:pt idx="5">
                  <c:v>680</c:v>
                </c:pt>
                <c:pt idx="6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4-4C5F-8580-5B30CC80C65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VANCOUVER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Sheet2!$A$5:$A$13</c:f>
              <c:strCache>
                <c:ptCount val="8"/>
                <c:pt idx="0">
                  <c:v>CHAIR 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LAPTOP </c:v>
                </c:pt>
                <c:pt idx="5">
                  <c:v>MONITER </c:v>
                </c:pt>
                <c:pt idx="6">
                  <c:v>PHONE</c:v>
                </c:pt>
                <c:pt idx="7">
                  <c:v>TABLET</c:v>
                </c:pt>
              </c:strCache>
            </c:strRef>
          </c:cat>
          <c:val>
            <c:numRef>
              <c:f>Sheet2!$C$5:$C$13</c:f>
              <c:numCache>
                <c:formatCode>General</c:formatCode>
                <c:ptCount val="8"/>
                <c:pt idx="0">
                  <c:v>300</c:v>
                </c:pt>
                <c:pt idx="1">
                  <c:v>1270</c:v>
                </c:pt>
                <c:pt idx="3">
                  <c:v>1200</c:v>
                </c:pt>
                <c:pt idx="4">
                  <c:v>1400</c:v>
                </c:pt>
                <c:pt idx="5">
                  <c:v>1420</c:v>
                </c:pt>
                <c:pt idx="6">
                  <c:v>950</c:v>
                </c:pt>
                <c:pt idx="7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4-4C5F-8580-5B30CC80C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2868232"/>
        <c:axId val="1202870280"/>
      </c:barChart>
      <c:catAx>
        <c:axId val="1202868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70280"/>
        <c:crosses val="autoZero"/>
        <c:auto val="1"/>
        <c:lblAlgn val="ctr"/>
        <c:lblOffset val="100"/>
        <c:noMultiLvlLbl val="0"/>
      </c:catAx>
      <c:valAx>
        <c:axId val="120287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6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</xdr:row>
      <xdr:rowOff>180975</xdr:rowOff>
    </xdr:from>
    <xdr:to>
      <xdr:col>11</xdr:col>
      <xdr:colOff>581025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EB27A-580B-C03F-E2E7-6B15A15B1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855327199075" createdVersion="8" refreshedVersion="8" minRefreshableVersion="3" recordCount="20" xr:uid="{89DD61FD-7C3E-4E0A-8591-A5D9FE7E3D74}">
  <cacheSource type="worksheet">
    <worksheetSource name="Table1"/>
  </cacheSource>
  <cacheFields count="7">
    <cacheField name="Order Id " numFmtId="0">
      <sharedItems/>
    </cacheField>
    <cacheField name="PRODUCT " numFmtId="0">
      <sharedItems count="8">
        <s v="LAPTOP"/>
        <s v="PHONE"/>
        <s v="TABLET"/>
        <s v="LAPTOP "/>
        <s v="DESK"/>
        <s v="CHAIR "/>
        <s v="MONITER "/>
        <s v="KEYBOARD"/>
      </sharedItems>
    </cacheField>
    <cacheField name="CATEGIRY " numFmtId="0">
      <sharedItems/>
    </cacheField>
    <cacheField name="SALES " numFmtId="0">
      <sharedItems containsSemiMixedTypes="0" containsString="0" containsNumber="1" containsInteger="1" minValue="150" maxValue="1500"/>
    </cacheField>
    <cacheField name="MONTHS " numFmtId="0">
      <sharedItems/>
    </cacheField>
    <cacheField name="REGION " numFmtId="0">
      <sharedItems count="2">
        <s v="VANCOUVER"/>
        <s v="TORONTO"/>
      </sharedItems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2"/>
    <x v="0"/>
    <s v="ELECTRONICS"/>
    <n v="1200"/>
    <s v="JANUARY "/>
    <x v="0"/>
    <s v="High"/>
  </r>
  <r>
    <s v="A3"/>
    <x v="1"/>
    <s v="ELECTRONICS"/>
    <n v="800"/>
    <s v="JANUARY "/>
    <x v="1"/>
    <s v="Medium"/>
  </r>
  <r>
    <s v="A4"/>
    <x v="2"/>
    <s v="ELECTRONICS "/>
    <n v="600"/>
    <s v="FEBRUARY"/>
    <x v="0"/>
    <s v="Medium"/>
  </r>
  <r>
    <s v="A5"/>
    <x v="3"/>
    <s v="ELECTRONICS "/>
    <n v="1500"/>
    <s v="FEBRUARY"/>
    <x v="1"/>
    <s v="High"/>
  </r>
  <r>
    <s v="A6"/>
    <x v="1"/>
    <s v="ELECTRONICS "/>
    <n v="950"/>
    <s v="MARCH "/>
    <x v="0"/>
    <s v="Medium"/>
  </r>
  <r>
    <s v="A7"/>
    <x v="4"/>
    <s v="FURNITURE "/>
    <n v="400"/>
    <s v="JANUARY "/>
    <x v="0"/>
    <s v="Low"/>
  </r>
  <r>
    <s v="A8"/>
    <x v="5"/>
    <s v="FURNITURE "/>
    <n v="250"/>
    <s v="JANUARY "/>
    <x v="1"/>
    <s v="Low"/>
  </r>
  <r>
    <s v="A9"/>
    <x v="6"/>
    <s v="ELECTRONICS "/>
    <n v="700"/>
    <s v="FEBRUARY"/>
    <x v="0"/>
    <s v="Medium"/>
  </r>
  <r>
    <s v="A10"/>
    <x v="7"/>
    <s v="ELECTRONICS "/>
    <n v="150"/>
    <s v="MARCH "/>
    <x v="1"/>
    <s v="Low"/>
  </r>
  <r>
    <s v="A11"/>
    <x v="4"/>
    <s v="FURNITURE "/>
    <n v="450"/>
    <s v="MARCH "/>
    <x v="0"/>
    <s v="Low"/>
  </r>
  <r>
    <s v="A12"/>
    <x v="5"/>
    <s v="FURNITURE "/>
    <n v="300"/>
    <s v="JANUARY "/>
    <x v="0"/>
    <s v="Low"/>
  </r>
  <r>
    <s v="A13"/>
    <x v="3"/>
    <s v="ELECTRONICS "/>
    <n v="1350"/>
    <s v="FEBRUARY"/>
    <x v="1"/>
    <s v="High"/>
  </r>
  <r>
    <s v="A14"/>
    <x v="6"/>
    <s v="ELECTRONICS "/>
    <n v="720"/>
    <s v="MARCH "/>
    <x v="0"/>
    <s v="Medium"/>
  </r>
  <r>
    <s v="A15"/>
    <x v="1"/>
    <s v="ELECTRONICS "/>
    <n v="870"/>
    <s v="JANUARY "/>
    <x v="1"/>
    <s v="Medium"/>
  </r>
  <r>
    <s v="A16"/>
    <x v="2"/>
    <s v="ELECTRONICS"/>
    <n v="580"/>
    <s v="FEBRUARY"/>
    <x v="0"/>
    <s v="Medium"/>
  </r>
  <r>
    <s v="A17"/>
    <x v="7"/>
    <s v="ELECTRONICS"/>
    <n v="180"/>
    <s v="MARCH "/>
    <x v="1"/>
    <s v="Low"/>
  </r>
  <r>
    <s v="A18"/>
    <x v="4"/>
    <s v="FURNITURE "/>
    <n v="420"/>
    <s v="JANUARY "/>
    <x v="0"/>
    <s v="Low"/>
  </r>
  <r>
    <s v="A19"/>
    <x v="5"/>
    <s v="FURNITURE "/>
    <n v="275"/>
    <s v="FEBRUARY"/>
    <x v="1"/>
    <s v="Low"/>
  </r>
  <r>
    <s v="A20"/>
    <x v="3"/>
    <s v="ELECTRONICS"/>
    <n v="1400"/>
    <s v="MARCH "/>
    <x v="0"/>
    <s v="High"/>
  </r>
  <r>
    <s v="A21"/>
    <x v="6"/>
    <s v="ELECTRONICS"/>
    <n v="680"/>
    <s v="JANUARY "/>
    <x v="1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8BBF4-AFE0-4340-935B-A95DD03EDD62}" name="PivotTable1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13" firstHeaderRow="1" firstDataRow="2" firstDataCol="1"/>
  <pivotFields count="7">
    <pivotField compact="0" outline="0" showAll="0"/>
    <pivotField axis="axisRow" compact="0" outline="0" showAll="0">
      <items count="9">
        <item x="5"/>
        <item x="4"/>
        <item x="7"/>
        <item x="0"/>
        <item x="3"/>
        <item x="6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SALES 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8002A-7FAF-4078-A9B7-283C2D5D721A}" name="Table1" displayName="Table1" ref="A1:G21" totalsRowShown="0">
  <autoFilter ref="A1:G21" xr:uid="{9748002A-7FAF-4078-A9B7-283C2D5D721A}"/>
  <tableColumns count="7">
    <tableColumn id="1" xr3:uid="{27E8898A-5538-47CB-B86A-AF2730A9E1B6}" name="Order Id "/>
    <tableColumn id="2" xr3:uid="{FFD922E4-7D91-404D-B930-C1EB2921276E}" name="PRODUCT "/>
    <tableColumn id="3" xr3:uid="{32909A66-B5C6-4EB9-B53E-19480B1BE191}" name="CATEGIRY "/>
    <tableColumn id="4" xr3:uid="{7A0D29EF-8BB0-42DD-BE12-C1C89F74B869}" name="SALES "/>
    <tableColumn id="5" xr3:uid="{5EF8D4D7-6529-480B-BB44-003943497457}" name="MONTHS "/>
    <tableColumn id="6" xr3:uid="{68B16FA8-F410-45A3-B42C-AC3C1F94DC02}" name="REGION "/>
    <tableColumn id="7" xr3:uid="{49C3B337-6366-446D-AD5E-B13B375125F4}" name="PERFORMANCE" dataDxfId="0">
      <calculatedColumnFormula>IF(D2&gt;=1000,"High",IF(D2&gt;=500,"Medium","Low"))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51B7-BEF4-4493-87A4-C9521A7412B7}">
  <dimension ref="A3:D13"/>
  <sheetViews>
    <sheetView tabSelected="1" workbookViewId="0">
      <selection activeCell="A5" sqref="A5:D13"/>
    </sheetView>
  </sheetViews>
  <sheetFormatPr defaultRowHeight="15"/>
  <cols>
    <col min="1" max="1" width="13.28515625" bestFit="1" customWidth="1"/>
    <col min="2" max="2" width="11.5703125" bestFit="1" customWidth="1"/>
    <col min="3" max="3" width="12.28515625" bestFit="1" customWidth="1"/>
    <col min="4" max="4" width="11.42578125" bestFit="1" customWidth="1"/>
  </cols>
  <sheetData>
    <row r="3" spans="1:4" ht="21.75" customHeight="1">
      <c r="A3" s="1" t="s">
        <v>0</v>
      </c>
      <c r="B3" s="1" t="s">
        <v>1</v>
      </c>
    </row>
    <row r="4" spans="1:4">
      <c r="A4" s="1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2">
        <v>525</v>
      </c>
      <c r="C5" s="2">
        <v>300</v>
      </c>
      <c r="D5" s="2">
        <v>825</v>
      </c>
    </row>
    <row r="6" spans="1:4">
      <c r="A6" t="s">
        <v>7</v>
      </c>
      <c r="B6" s="2"/>
      <c r="C6" s="2">
        <v>1270</v>
      </c>
      <c r="D6" s="2">
        <v>1270</v>
      </c>
    </row>
    <row r="7" spans="1:4">
      <c r="A7" t="s">
        <v>8</v>
      </c>
      <c r="B7" s="2">
        <v>330</v>
      </c>
      <c r="C7" s="2"/>
      <c r="D7" s="2">
        <v>330</v>
      </c>
    </row>
    <row r="8" spans="1:4">
      <c r="A8" t="s">
        <v>9</v>
      </c>
      <c r="B8" s="2"/>
      <c r="C8" s="2">
        <v>1200</v>
      </c>
      <c r="D8" s="2">
        <v>1200</v>
      </c>
    </row>
    <row r="9" spans="1:4">
      <c r="A9" t="s">
        <v>10</v>
      </c>
      <c r="B9" s="2">
        <v>2850</v>
      </c>
      <c r="C9" s="2">
        <v>1400</v>
      </c>
      <c r="D9" s="2">
        <v>4250</v>
      </c>
    </row>
    <row r="10" spans="1:4">
      <c r="A10" t="s">
        <v>11</v>
      </c>
      <c r="B10" s="2">
        <v>680</v>
      </c>
      <c r="C10" s="2">
        <v>1420</v>
      </c>
      <c r="D10" s="2">
        <v>2100</v>
      </c>
    </row>
    <row r="11" spans="1:4">
      <c r="A11" t="s">
        <v>12</v>
      </c>
      <c r="B11" s="2">
        <v>1670</v>
      </c>
      <c r="C11" s="2">
        <v>950</v>
      </c>
      <c r="D11" s="2">
        <v>2620</v>
      </c>
    </row>
    <row r="12" spans="1:4">
      <c r="A12" t="s">
        <v>13</v>
      </c>
      <c r="B12" s="2"/>
      <c r="C12" s="2">
        <v>1180</v>
      </c>
      <c r="D12" s="2">
        <v>1180</v>
      </c>
    </row>
    <row r="13" spans="1:4">
      <c r="A13" t="s">
        <v>5</v>
      </c>
      <c r="B13" s="2">
        <v>6055</v>
      </c>
      <c r="C13" s="2">
        <v>7720</v>
      </c>
      <c r="D13" s="2">
        <v>13775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G1" sqref="G1:G21"/>
    </sheetView>
  </sheetViews>
  <sheetFormatPr defaultRowHeight="15"/>
  <cols>
    <col min="1" max="1" width="11" bestFit="1" customWidth="1"/>
    <col min="2" max="2" width="12.42578125" bestFit="1" customWidth="1"/>
    <col min="3" max="3" width="13.140625" bestFit="1" customWidth="1"/>
    <col min="4" max="4" width="10.28515625" bestFit="1" customWidth="1"/>
    <col min="5" max="5" width="11.85546875" bestFit="1" customWidth="1"/>
    <col min="6" max="6" width="12" bestFit="1" customWidth="1"/>
    <col min="7" max="7" width="17" bestFit="1" customWidth="1"/>
    <col min="8" max="8" width="12.5703125" bestFit="1" customWidth="1"/>
  </cols>
  <sheetData>
    <row r="1" spans="1:9">
      <c r="A1" t="s">
        <v>14</v>
      </c>
      <c r="B1" t="s">
        <v>2</v>
      </c>
      <c r="C1" t="s">
        <v>15</v>
      </c>
      <c r="D1" t="s">
        <v>16</v>
      </c>
      <c r="E1" t="s">
        <v>17</v>
      </c>
      <c r="F1" t="s">
        <v>1</v>
      </c>
      <c r="G1" t="s">
        <v>18</v>
      </c>
      <c r="H1" t="s">
        <v>19</v>
      </c>
      <c r="I1">
        <f>SUM(D2:D21)</f>
        <v>13775</v>
      </c>
    </row>
    <row r="2" spans="1:9">
      <c r="A2" t="s">
        <v>20</v>
      </c>
      <c r="B2" t="s">
        <v>9</v>
      </c>
      <c r="C2" t="s">
        <v>21</v>
      </c>
      <c r="D2">
        <v>1200</v>
      </c>
      <c r="E2" t="s">
        <v>22</v>
      </c>
      <c r="F2" t="s">
        <v>4</v>
      </c>
      <c r="G2" t="str">
        <f t="shared" ref="G2:G21" si="0">IF(D2&gt;=1000,"High",IF(D2&gt;=500,"Medium","Low"))</f>
        <v>High</v>
      </c>
      <c r="H2" t="s">
        <v>23</v>
      </c>
      <c r="I2">
        <f>AVERAGE(D2:D21)</f>
        <v>688.75</v>
      </c>
    </row>
    <row r="3" spans="1:9">
      <c r="A3" t="s">
        <v>24</v>
      </c>
      <c r="B3" t="s">
        <v>12</v>
      </c>
      <c r="C3" t="s">
        <v>21</v>
      </c>
      <c r="D3">
        <v>800</v>
      </c>
      <c r="E3" t="s">
        <v>22</v>
      </c>
      <c r="F3" t="s">
        <v>3</v>
      </c>
      <c r="G3" t="str">
        <f t="shared" si="0"/>
        <v>Medium</v>
      </c>
      <c r="H3" t="s">
        <v>25</v>
      </c>
      <c r="I3">
        <f>MAX(D2:D21)</f>
        <v>1500</v>
      </c>
    </row>
    <row r="4" spans="1:9">
      <c r="A4" t="s">
        <v>26</v>
      </c>
      <c r="B4" t="s">
        <v>13</v>
      </c>
      <c r="C4" t="s">
        <v>27</v>
      </c>
      <c r="D4">
        <v>600</v>
      </c>
      <c r="E4" t="s">
        <v>28</v>
      </c>
      <c r="F4" t="s">
        <v>4</v>
      </c>
      <c r="G4" t="str">
        <f t="shared" si="0"/>
        <v>Medium</v>
      </c>
      <c r="H4" t="s">
        <v>29</v>
      </c>
      <c r="I4">
        <f>MIN(D2:D21)</f>
        <v>150</v>
      </c>
    </row>
    <row r="5" spans="1:9">
      <c r="A5" t="s">
        <v>30</v>
      </c>
      <c r="B5" t="s">
        <v>10</v>
      </c>
      <c r="C5" t="s">
        <v>27</v>
      </c>
      <c r="D5">
        <v>1500</v>
      </c>
      <c r="E5" t="s">
        <v>28</v>
      </c>
      <c r="F5" t="s">
        <v>3</v>
      </c>
      <c r="G5" t="str">
        <f t="shared" si="0"/>
        <v>High</v>
      </c>
      <c r="H5" t="s">
        <v>19</v>
      </c>
      <c r="I5">
        <f>COUNT(D2:D21)</f>
        <v>20</v>
      </c>
    </row>
    <row r="6" spans="1:9">
      <c r="A6" t="s">
        <v>31</v>
      </c>
      <c r="B6" t="s">
        <v>12</v>
      </c>
      <c r="C6" t="s">
        <v>27</v>
      </c>
      <c r="D6">
        <v>950</v>
      </c>
      <c r="E6" t="s">
        <v>32</v>
      </c>
      <c r="F6" t="s">
        <v>4</v>
      </c>
      <c r="G6" t="str">
        <f t="shared" si="0"/>
        <v>Medium</v>
      </c>
    </row>
    <row r="7" spans="1:9">
      <c r="A7" t="s">
        <v>33</v>
      </c>
      <c r="B7" t="s">
        <v>7</v>
      </c>
      <c r="C7" t="s">
        <v>34</v>
      </c>
      <c r="D7">
        <v>400</v>
      </c>
      <c r="E7" t="s">
        <v>22</v>
      </c>
      <c r="F7" t="s">
        <v>4</v>
      </c>
      <c r="G7" t="str">
        <f t="shared" si="0"/>
        <v>Low</v>
      </c>
    </row>
    <row r="8" spans="1:9">
      <c r="A8" t="s">
        <v>35</v>
      </c>
      <c r="B8" t="s">
        <v>6</v>
      </c>
      <c r="C8" t="s">
        <v>34</v>
      </c>
      <c r="D8">
        <v>250</v>
      </c>
      <c r="E8" t="s">
        <v>22</v>
      </c>
      <c r="F8" t="s">
        <v>3</v>
      </c>
      <c r="G8" t="str">
        <f t="shared" si="0"/>
        <v>Low</v>
      </c>
    </row>
    <row r="9" spans="1:9">
      <c r="A9" t="s">
        <v>36</v>
      </c>
      <c r="B9" t="s">
        <v>11</v>
      </c>
      <c r="C9" t="s">
        <v>27</v>
      </c>
      <c r="D9">
        <v>700</v>
      </c>
      <c r="E9" t="s">
        <v>28</v>
      </c>
      <c r="F9" t="s">
        <v>4</v>
      </c>
      <c r="G9" t="str">
        <f t="shared" si="0"/>
        <v>Medium</v>
      </c>
    </row>
    <row r="10" spans="1:9">
      <c r="A10" t="s">
        <v>37</v>
      </c>
      <c r="B10" t="s">
        <v>8</v>
      </c>
      <c r="C10" t="s">
        <v>27</v>
      </c>
      <c r="D10">
        <v>150</v>
      </c>
      <c r="E10" t="s">
        <v>32</v>
      </c>
      <c r="F10" t="s">
        <v>3</v>
      </c>
      <c r="G10" t="str">
        <f t="shared" si="0"/>
        <v>Low</v>
      </c>
    </row>
    <row r="11" spans="1:9">
      <c r="A11" t="s">
        <v>38</v>
      </c>
      <c r="B11" t="s">
        <v>7</v>
      </c>
      <c r="C11" t="s">
        <v>34</v>
      </c>
      <c r="D11">
        <v>450</v>
      </c>
      <c r="E11" t="s">
        <v>32</v>
      </c>
      <c r="F11" t="s">
        <v>4</v>
      </c>
      <c r="G11" t="str">
        <f t="shared" si="0"/>
        <v>Low</v>
      </c>
    </row>
    <row r="12" spans="1:9">
      <c r="A12" t="s">
        <v>39</v>
      </c>
      <c r="B12" t="s">
        <v>6</v>
      </c>
      <c r="C12" t="s">
        <v>34</v>
      </c>
      <c r="D12">
        <v>300</v>
      </c>
      <c r="E12" t="s">
        <v>22</v>
      </c>
      <c r="F12" t="s">
        <v>4</v>
      </c>
      <c r="G12" t="str">
        <f t="shared" si="0"/>
        <v>Low</v>
      </c>
    </row>
    <row r="13" spans="1:9">
      <c r="A13" t="s">
        <v>40</v>
      </c>
      <c r="B13" t="s">
        <v>10</v>
      </c>
      <c r="C13" t="s">
        <v>27</v>
      </c>
      <c r="D13">
        <v>1350</v>
      </c>
      <c r="E13" t="s">
        <v>28</v>
      </c>
      <c r="F13" t="s">
        <v>3</v>
      </c>
      <c r="G13" t="str">
        <f t="shared" si="0"/>
        <v>High</v>
      </c>
    </row>
    <row r="14" spans="1:9">
      <c r="A14" t="s">
        <v>41</v>
      </c>
      <c r="B14" t="s">
        <v>11</v>
      </c>
      <c r="C14" t="s">
        <v>27</v>
      </c>
      <c r="D14">
        <v>720</v>
      </c>
      <c r="E14" t="s">
        <v>32</v>
      </c>
      <c r="F14" t="s">
        <v>4</v>
      </c>
      <c r="G14" t="str">
        <f t="shared" si="0"/>
        <v>Medium</v>
      </c>
    </row>
    <row r="15" spans="1:9">
      <c r="A15" t="s">
        <v>42</v>
      </c>
      <c r="B15" t="s">
        <v>12</v>
      </c>
      <c r="C15" t="s">
        <v>27</v>
      </c>
      <c r="D15">
        <v>870</v>
      </c>
      <c r="E15" t="s">
        <v>22</v>
      </c>
      <c r="F15" t="s">
        <v>3</v>
      </c>
      <c r="G15" t="str">
        <f t="shared" si="0"/>
        <v>Medium</v>
      </c>
    </row>
    <row r="16" spans="1:9">
      <c r="A16" t="s">
        <v>43</v>
      </c>
      <c r="B16" t="s">
        <v>13</v>
      </c>
      <c r="C16" t="s">
        <v>21</v>
      </c>
      <c r="D16">
        <v>580</v>
      </c>
      <c r="E16" t="s">
        <v>28</v>
      </c>
      <c r="F16" t="s">
        <v>4</v>
      </c>
      <c r="G16" t="str">
        <f t="shared" si="0"/>
        <v>Medium</v>
      </c>
    </row>
    <row r="17" spans="1:7">
      <c r="A17" t="s">
        <v>44</v>
      </c>
      <c r="B17" t="s">
        <v>8</v>
      </c>
      <c r="C17" t="s">
        <v>21</v>
      </c>
      <c r="D17">
        <v>180</v>
      </c>
      <c r="E17" t="s">
        <v>32</v>
      </c>
      <c r="F17" t="s">
        <v>3</v>
      </c>
      <c r="G17" t="str">
        <f t="shared" si="0"/>
        <v>Low</v>
      </c>
    </row>
    <row r="18" spans="1:7">
      <c r="A18" t="s">
        <v>45</v>
      </c>
      <c r="B18" t="s">
        <v>7</v>
      </c>
      <c r="C18" t="s">
        <v>34</v>
      </c>
      <c r="D18">
        <v>420</v>
      </c>
      <c r="E18" t="s">
        <v>22</v>
      </c>
      <c r="F18" t="s">
        <v>4</v>
      </c>
      <c r="G18" t="str">
        <f t="shared" si="0"/>
        <v>Low</v>
      </c>
    </row>
    <row r="19" spans="1:7">
      <c r="A19" t="s">
        <v>46</v>
      </c>
      <c r="B19" t="s">
        <v>6</v>
      </c>
      <c r="C19" t="s">
        <v>34</v>
      </c>
      <c r="D19">
        <v>275</v>
      </c>
      <c r="E19" t="s">
        <v>28</v>
      </c>
      <c r="F19" t="s">
        <v>3</v>
      </c>
      <c r="G19" t="str">
        <f t="shared" si="0"/>
        <v>Low</v>
      </c>
    </row>
    <row r="20" spans="1:7">
      <c r="A20" t="s">
        <v>47</v>
      </c>
      <c r="B20" t="s">
        <v>10</v>
      </c>
      <c r="C20" t="s">
        <v>21</v>
      </c>
      <c r="D20">
        <v>1400</v>
      </c>
      <c r="E20" t="s">
        <v>32</v>
      </c>
      <c r="F20" t="s">
        <v>4</v>
      </c>
      <c r="G20" t="str">
        <f t="shared" si="0"/>
        <v>High</v>
      </c>
    </row>
    <row r="21" spans="1:7">
      <c r="A21" t="s">
        <v>48</v>
      </c>
      <c r="B21" t="s">
        <v>11</v>
      </c>
      <c r="C21" t="s">
        <v>21</v>
      </c>
      <c r="D21">
        <v>680</v>
      </c>
      <c r="E21" t="s">
        <v>22</v>
      </c>
      <c r="F21" t="s">
        <v>3</v>
      </c>
      <c r="G21" t="str">
        <f t="shared" si="0"/>
        <v>Medium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saif saifi</cp:lastModifiedBy>
  <cp:revision/>
  <dcterms:created xsi:type="dcterms:W3CDTF">2026-07-07T02:47:39Z</dcterms:created>
  <dcterms:modified xsi:type="dcterms:W3CDTF">2026-07-08T03:37:22Z</dcterms:modified>
  <cp:category/>
  <cp:contentStatus/>
</cp:coreProperties>
</file>